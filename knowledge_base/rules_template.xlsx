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试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F6B4F"/>
      <sz val="16"/>
    </font>
  </fonts>
  <fills count="4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FFFDF7"/>
      </patternFill>
    </fill>
  </fills>
  <borders count="2">
    <border>
      <left/>
      <right/>
      <top/>
      <bottom/>
      <diagonal/>
    </border>
    <border>
      <bottom style="thin">
        <color rgb="00D9DE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uleParameters" displayName="RuleParameters" ref="A1:S71" headerRowCount="1">
  <autoFilter ref="A1:S71"/>
  <tableColumns count="19">
    <tableColumn id="1" name="Rule_ID"/>
    <tableColumn id="2" name="类别"/>
    <tableColumn id="3" name="规则名称"/>
    <tableColumn id="4" name="条件说明"/>
    <tableColumn id="5" name="参数值"/>
    <tableColumn id="6" name="单位"/>
    <tableColumn id="7" name="启用"/>
    <tableColumn id="8" name="状态"/>
    <tableColumn id="9" name="来源"/>
    <tableColumn id="10" name="解释"/>
    <tableColumn id="11" name="备注"/>
    <tableColumn id="12" name="数据类型"/>
    <tableColumn id="13" name="最小值"/>
    <tableColumn id="14" name="最大值"/>
    <tableColumn id="15" name="参数含义"/>
    <tableColumn id="16" name="计算公式"/>
    <tableColumn id="17" name="修改后的影响"/>
    <tableColumn id="18" name="计算示例"/>
    <tableColumn id="19" name="初始取值考虑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34" customWidth="1" min="9" max="9"/>
    <col width="34" customWidth="1" min="10" max="10"/>
    <col width="34" customWidth="1" min="11" max="11"/>
    <col width="18" customWidth="1" min="12" max="12"/>
    <col width="18" customWidth="1" min="13" max="13"/>
    <col width="18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</cols>
  <sheetData>
    <row r="1" ht="32" customHeight="1">
      <c r="A1" s="1" t="inlineStr">
        <is>
          <t>Rule_ID</t>
        </is>
      </c>
      <c r="B1" s="1" t="inlineStr">
        <is>
          <t>类别</t>
        </is>
      </c>
      <c r="C1" s="1" t="inlineStr">
        <is>
          <t>规则名称</t>
        </is>
      </c>
      <c r="D1" s="1" t="inlineStr">
        <is>
          <t>条件说明</t>
        </is>
      </c>
      <c r="E1" s="1" t="inlineStr">
        <is>
          <t>参数值</t>
        </is>
      </c>
      <c r="F1" s="1" t="inlineStr">
        <is>
          <t>单位</t>
        </is>
      </c>
      <c r="G1" s="1" t="inlineStr">
        <is>
          <t>启用</t>
        </is>
      </c>
      <c r="H1" s="1" t="inlineStr">
        <is>
          <t>状态</t>
        </is>
      </c>
      <c r="I1" s="1" t="inlineStr">
        <is>
          <t>来源</t>
        </is>
      </c>
      <c r="J1" s="1" t="inlineStr">
        <is>
          <t>解释</t>
        </is>
      </c>
      <c r="K1" s="1" t="inlineStr">
        <is>
          <t>备注</t>
        </is>
      </c>
      <c r="L1" s="1" t="inlineStr">
        <is>
          <t>数据类型</t>
        </is>
      </c>
      <c r="M1" s="1" t="inlineStr">
        <is>
          <t>最小值</t>
        </is>
      </c>
      <c r="N1" s="1" t="inlineStr">
        <is>
          <t>最大值</t>
        </is>
      </c>
      <c r="O1" s="1" t="inlineStr">
        <is>
          <t>参数含义</t>
        </is>
      </c>
      <c r="P1" s="1" t="inlineStr">
        <is>
          <t>计算公式</t>
        </is>
      </c>
      <c r="Q1" s="1" t="inlineStr">
        <is>
          <t>修改后的影响</t>
        </is>
      </c>
      <c r="R1" s="1" t="inlineStr">
        <is>
          <t>计算示例</t>
        </is>
      </c>
      <c r="S1" s="1" t="inlineStr">
        <is>
          <t>初始取值考虑</t>
        </is>
      </c>
      <c r="T1" s="1" t="inlineStr">
        <is>
          <t>参数类型</t>
        </is>
      </c>
      <c r="U1" s="1" t="inlineStr">
        <is>
          <t>影响位置</t>
        </is>
      </c>
    </row>
    <row r="2" ht="7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7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7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7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7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7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72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72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7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72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7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72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7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7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7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7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7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 ht="7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 ht="7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 ht="7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7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7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 ht="7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 ht="7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 ht="7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 ht="72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 ht="7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 ht="72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7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 ht="7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 ht="7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 ht="72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 ht="7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 ht="72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 ht="7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 ht="7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 ht="7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 ht="7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 ht="7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 ht="7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 ht="7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 ht="72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 ht="72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 ht="72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 ht="72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 ht="72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7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72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72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72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7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72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72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72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7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7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72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72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72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72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72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72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72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72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72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72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72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72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72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72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公开模板</t>
        </is>
      </c>
    </row>
    <row r="2">
      <c r="A2" s="4" t="inlineStr">
        <is>
          <t>此文件只保留导出格式，不含正式规则，也不能直接作为正式规则导入。</t>
        </is>
      </c>
    </row>
    <row r="4">
      <c r="A4" s="4" t="inlineStr">
        <is>
          <t>安装正式规则时，请在应用中选择维护者单独发送的 .lyrules 加密规则包并输入对应口令。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36" customWidth="1" min="4" max="4"/>
  </cols>
  <sheetData>
    <row r="1">
      <c r="A1" t="inlineStr">
        <is>
          <t>序号</t>
        </is>
      </c>
      <c r="B1" t="inlineStr">
        <is>
          <t>规则编号</t>
        </is>
      </c>
      <c r="C1" t="inlineStr">
        <is>
          <t>参数值</t>
        </is>
      </c>
      <c r="D1" t="inlineStr">
        <is>
          <t>说明</t>
        </is>
      </c>
    </row>
    <row r="2">
      <c r="A2">
        <f>ROW()-1</f>
        <v/>
      </c>
      <c r="B2">
        <f>IF(Rules!A2="","",Rules!A2)</f>
        <v/>
      </c>
      <c r="C2">
        <f>IF(Rules!E2="","",Rules!E2)</f>
        <v/>
      </c>
      <c r="D2">
        <f>IF(B2="","等待安装正式规则","仅供本机试算")</f>
        <v/>
      </c>
    </row>
    <row r="3">
      <c r="A3">
        <f>ROW()-1</f>
        <v/>
      </c>
      <c r="B3">
        <f>IF(Rules!A3="","",Rules!A3)</f>
        <v/>
      </c>
      <c r="C3">
        <f>IF(Rules!E3="","",Rules!E3)</f>
        <v/>
      </c>
      <c r="D3">
        <f>IF(B3="","等待安装正式规则","仅供本机试算")</f>
        <v/>
      </c>
    </row>
    <row r="4">
      <c r="A4">
        <f>ROW()-1</f>
        <v/>
      </c>
      <c r="B4">
        <f>IF(Rules!A4="","",Rules!A4)</f>
        <v/>
      </c>
      <c r="C4">
        <f>IF(Rules!E4="","",Rules!E4)</f>
        <v/>
      </c>
      <c r="D4">
        <f>IF(B4="","等待安装正式规则","仅供本机试算")</f>
        <v/>
      </c>
    </row>
    <row r="5">
      <c r="A5">
        <f>ROW()-1</f>
        <v/>
      </c>
      <c r="B5">
        <f>IF(Rules!A5="","",Rules!A5)</f>
        <v/>
      </c>
      <c r="C5">
        <f>IF(Rules!E5="","",Rules!E5)</f>
        <v/>
      </c>
      <c r="D5">
        <f>IF(B5="","等待安装正式规则","仅供本机试算")</f>
        <v/>
      </c>
    </row>
    <row r="6">
      <c r="A6">
        <f>ROW()-1</f>
        <v/>
      </c>
      <c r="B6">
        <f>IF(Rules!A6="","",Rules!A6)</f>
        <v/>
      </c>
      <c r="C6">
        <f>IF(Rules!E6="","",Rules!E6)</f>
        <v/>
      </c>
      <c r="D6">
        <f>IF(B6="","等待安装正式规则","仅供本机试算")</f>
        <v/>
      </c>
    </row>
    <row r="7">
      <c r="A7">
        <f>ROW()-1</f>
        <v/>
      </c>
      <c r="B7">
        <f>IF(Rules!A7="","",Rules!A7)</f>
        <v/>
      </c>
      <c r="C7">
        <f>IF(Rules!E7="","",Rules!E7)</f>
        <v/>
      </c>
      <c r="D7">
        <f>IF(B7="","等待安装正式规则","仅供本机试算")</f>
        <v/>
      </c>
    </row>
    <row r="8">
      <c r="A8">
        <f>ROW()-1</f>
        <v/>
      </c>
      <c r="B8">
        <f>IF(Rules!A8="","",Rules!A8)</f>
        <v/>
      </c>
      <c r="C8">
        <f>IF(Rules!E8="","",Rules!E8)</f>
        <v/>
      </c>
      <c r="D8">
        <f>IF(B8="","等待安装正式规则","仅供本机试算")</f>
        <v/>
      </c>
    </row>
    <row r="9">
      <c r="A9">
        <f>ROW()-1</f>
        <v/>
      </c>
      <c r="B9">
        <f>IF(Rules!A9="","",Rules!A9)</f>
        <v/>
      </c>
      <c r="C9">
        <f>IF(Rules!E9="","",Rules!E9)</f>
        <v/>
      </c>
      <c r="D9">
        <f>IF(B9="","等待安装正式规则","仅供本机试算")</f>
        <v/>
      </c>
    </row>
    <row r="10">
      <c r="A10">
        <f>ROW()-1</f>
        <v/>
      </c>
      <c r="B10">
        <f>IF(Rules!A10="","",Rules!A10)</f>
        <v/>
      </c>
      <c r="C10">
        <f>IF(Rules!E10="","",Rules!E10)</f>
        <v/>
      </c>
      <c r="D10">
        <f>IF(B10="","等待安装正式规则","仅供本机试算")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2026-09-22T09:25:51Z</dcterms:created>
  <dcterms:modified xmlns:dcterms="http://purl.org/dc/terms/" xmlns:xsi="http://www.w3.org/2001/XMLSchema-instance" xsi:type="dcterms:W3CDTF">2026-09-22T09:25:51Z</dcterms:modified>
</cp:coreProperties>
</file>